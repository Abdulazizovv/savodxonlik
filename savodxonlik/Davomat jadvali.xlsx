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'quvchi uchun\Desktop\"/>
    </mc:Choice>
  </mc:AlternateContent>
  <xr:revisionPtr revIDLastSave="0" documentId="8_{90E9198E-7142-49B9-A98B-39DEF066D7F3}" xr6:coauthVersionLast="47" xr6:coauthVersionMax="47" xr10:uidLastSave="{00000000-0000-0000-0000-000000000000}"/>
  <bookViews>
    <workbookView xWindow="-120" yWindow="-120" windowWidth="19440" windowHeight="11640" activeTab="2" xr2:uid="{C7CF84FA-B032-46DF-923F-F722BD841146}"/>
  </bookViews>
  <sheets>
    <sheet name="o'quvchilar ro'yxati" sheetId="1" r:id="rId1"/>
    <sheet name="to'lovlar" sheetId="2" r:id="rId2"/>
    <sheet name="davomat" sheetId="3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3" l="1"/>
  <c r="N7" i="3"/>
  <c r="N8" i="3"/>
  <c r="N9" i="3"/>
  <c r="N10" i="3"/>
  <c r="N11" i="3"/>
  <c r="N12" i="3"/>
  <c r="N13" i="3"/>
  <c r="N14" i="3"/>
  <c r="N15" i="3"/>
  <c r="M6" i="3"/>
  <c r="M7" i="3"/>
  <c r="M8" i="3"/>
  <c r="M9" i="3"/>
  <c r="M10" i="3"/>
  <c r="M11" i="3"/>
  <c r="M12" i="3"/>
  <c r="M13" i="3"/>
  <c r="M14" i="3"/>
  <c r="M15" i="3"/>
  <c r="L6" i="3"/>
  <c r="L7" i="3"/>
  <c r="L8" i="3"/>
  <c r="L9" i="3"/>
  <c r="L10" i="3"/>
  <c r="L11" i="3"/>
  <c r="L12" i="3"/>
  <c r="L13" i="3"/>
  <c r="L14" i="3"/>
  <c r="L15" i="3"/>
  <c r="H14" i="2"/>
  <c r="C14" i="2"/>
  <c r="E14" i="2"/>
  <c r="F14" i="2"/>
  <c r="G5" i="2"/>
  <c r="G6" i="2"/>
  <c r="G7" i="2"/>
  <c r="G8" i="2"/>
  <c r="G9" i="2"/>
  <c r="G10" i="2"/>
  <c r="G11" i="2"/>
  <c r="G12" i="2"/>
  <c r="G13" i="2"/>
  <c r="G4" i="2"/>
  <c r="G7" i="1"/>
  <c r="G14" i="2" l="1"/>
</calcChain>
</file>

<file path=xl/sharedStrings.xml><?xml version="1.0" encoding="utf-8"?>
<sst xmlns="http://schemas.openxmlformats.org/spreadsheetml/2006/main" count="52" uniqueCount="26">
  <si>
    <t>Tug'ilgan yilingizni kiriting:</t>
  </si>
  <si>
    <t>Joriy yilni kiriting:</t>
  </si>
  <si>
    <t>№</t>
  </si>
  <si>
    <t>F.I.Sh</t>
  </si>
  <si>
    <t>Telefon raqam</t>
  </si>
  <si>
    <t>To'lov summasi</t>
  </si>
  <si>
    <t>oxirgi to'lovi</t>
  </si>
  <si>
    <t>qarzi</t>
  </si>
  <si>
    <t>Palonchiyev Pistonchi</t>
  </si>
  <si>
    <t>jinsi</t>
  </si>
  <si>
    <t>erkak</t>
  </si>
  <si>
    <t>ayol</t>
  </si>
  <si>
    <t>Davomat</t>
  </si>
  <si>
    <t>T/r</t>
  </si>
  <si>
    <t>Dushanba</t>
  </si>
  <si>
    <t>Seshanba</t>
  </si>
  <si>
    <t>Chorshanba</t>
  </si>
  <si>
    <t>Payshanba</t>
  </si>
  <si>
    <t>Juma</t>
  </si>
  <si>
    <t>Shanba</t>
  </si>
  <si>
    <t>qatnashdi</t>
  </si>
  <si>
    <t>qatnashmadi</t>
  </si>
  <si>
    <t>Palonchiyev</t>
  </si>
  <si>
    <t>Familiya</t>
  </si>
  <si>
    <t>Ism</t>
  </si>
  <si>
    <t>Palonchiyeva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</si>
</sst>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FF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3" fontId="0" fillId="0" borderId="0" xfId="0" applyNumberFormat="1"/>
    <xf numFmtId="0" fontId="1" fillId="4" borderId="0" xfId="0" applyFont="1" applyFill="1" applyAlignment="1">
      <alignment horizontal="center"/>
    </xf>
    <xf numFmtId="0" fontId="0" fillId="0" borderId="0" xfId="0" applyNumberFormat="1"/>
  </cellXfs>
  <cellStyles count="1">
    <cellStyle name="Обычный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47DD0-787C-4141-989D-CC7B7C762333}" name="Таблица1" displayName="Таблица1" ref="B3:H14" totalsRowCount="1">
  <autoFilter ref="B3:H13" xr:uid="{36D47DD0-787C-4141-989D-CC7B7C762333}"/>
  <tableColumns count="7">
    <tableColumn id="1" xr3:uid="{A9679C90-7A6F-4831-8EDD-49B1D045CA27}" name="№"/>
    <tableColumn id="2" xr3:uid="{4C35501A-A8FD-4BD9-885D-2C30E0E168DD}" name="F.I.Sh" totalsRowFunction="count"/>
    <tableColumn id="3" xr3:uid="{D0F35A75-D5E6-4936-9B7E-38363880D020}" name="Telefon raqam"/>
    <tableColumn id="4" xr3:uid="{41CD763B-607D-49EB-8897-C433665A0EA8}" name="To'lov summasi" totalsRowFunction="sum" dataDxfId="10" totalsRowDxfId="9"/>
    <tableColumn id="5" xr3:uid="{9027658B-3416-4FED-9EFF-DA1C427432F6}" name="oxirgi to'lovi" totalsRowFunction="sum" dataDxfId="8" totalsRowDxfId="7"/>
    <tableColumn id="6" xr3:uid="{0E87E919-6368-4D04-9333-01485CDBB6AD}" name="qarzi" totalsRowFunction="sum" dataDxfId="6" totalsRowDxfId="5">
      <calculatedColumnFormula>E4-F4</calculatedColumnFormula>
    </tableColumn>
    <tableColumn id="7" xr3:uid="{AB8E4307-751E-4DC0-9E02-31C5373224F4}" name="jinsi" totalsRowFunction="count" dataDxfId="4" totalsRowDxfId="3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E5BD82-2F7A-474B-86B5-0CF53AC9D5C8}" name="Таблица3" displayName="Таблица3" ref="C5:N15" totalsRowShown="0">
  <autoFilter ref="C5:N15" xr:uid="{99E5BD82-2F7A-474B-86B5-0CF53AC9D5C8}"/>
  <tableColumns count="12">
    <tableColumn id="1" xr3:uid="{0E16784A-E602-412C-BB13-E430035692EB}" name="T/r"/>
    <tableColumn id="2" xr3:uid="{D67D96C2-7C3D-4708-BDCE-EB18A8F07926}" name="Familiya"/>
    <tableColumn id="3" xr3:uid="{5FAD2BCD-42E2-4A52-A2EC-00A39D2A7A8E}" name="Ism"/>
    <tableColumn id="4" xr3:uid="{43771873-CFBB-4F0F-A485-5E47C7C5AD39}" name="Dushanba"/>
    <tableColumn id="5" xr3:uid="{84998A24-ED85-4EE7-AC2A-B1FF76E9EB37}" name="Seshanba"/>
    <tableColumn id="6" xr3:uid="{870E07DB-1AC9-455A-B0BF-F61B9A9C6700}" name="Chorshanba"/>
    <tableColumn id="7" xr3:uid="{6EBB200B-A33A-4D09-A9DF-8344B028E8E1}" name="Payshanba"/>
    <tableColumn id="8" xr3:uid="{1D4CA97D-50BD-43F5-BE26-39C8FAF76D78}" name="Juma"/>
    <tableColumn id="9" xr3:uid="{2AA68549-8DC0-4420-8869-422946A8F552}" name="Shanba" dataDxfId="2"/>
    <tableColumn id="10" xr3:uid="{04EBA2BE-9082-4B36-BA58-BEA09BAD29DE}" name="qatnashdi" dataDxfId="1">
      <calculatedColumnFormula>COUNTIF(Таблица3[[#This Row],[Ism]:[Juma]],1)</calculatedColumnFormula>
    </tableColumn>
    <tableColumn id="11" xr3:uid="{A7A35D8F-D305-4BA2-8C95-CE47CEE571E1}" name="qatnashmadi">
      <calculatedColumnFormula>COUNTIF(Таблица3[[#This Row],[Ism]:[Juma]],0)</calculatedColumnFormula>
    </tableColumn>
    <tableColumn id="12" xr3:uid="{7F43B667-4D1E-460C-B5C1-8B2E99373638}" name="jinsi" dataDxfId="0">
      <calculatedColumnFormula>IF(RIGHT(Таблица3[[#This Row],[Familiya]])="a","Ayol","Erkak")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D58D-2E39-436A-9EF3-FAA876F49095}">
  <dimension ref="D5:G7"/>
  <sheetViews>
    <sheetView zoomScaleNormal="100" workbookViewId="0">
      <selection activeCell="H16" sqref="H16"/>
    </sheetView>
  </sheetViews>
  <sheetFormatPr defaultRowHeight="15" x14ac:dyDescent="0.25"/>
  <sheetData>
    <row r="5" spans="4:7" x14ac:dyDescent="0.25">
      <c r="D5" t="s">
        <v>0</v>
      </c>
      <c r="G5" s="2">
        <v>2003</v>
      </c>
    </row>
    <row r="6" spans="4:7" x14ac:dyDescent="0.25">
      <c r="D6" t="s">
        <v>1</v>
      </c>
      <c r="G6" s="1">
        <v>2050</v>
      </c>
    </row>
    <row r="7" spans="4:7" x14ac:dyDescent="0.25">
      <c r="G7">
        <f>G6-G5</f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D8A7-194B-42CD-8B0A-7FD367E41445}">
  <dimension ref="B3:H14"/>
  <sheetViews>
    <sheetView zoomScale="145" zoomScaleNormal="145" workbookViewId="0">
      <selection activeCell="I13" sqref="I13"/>
    </sheetView>
  </sheetViews>
  <sheetFormatPr defaultRowHeight="15" x14ac:dyDescent="0.25"/>
  <cols>
    <col min="3" max="3" width="20.5703125" bestFit="1" customWidth="1"/>
    <col min="4" max="4" width="16" customWidth="1"/>
    <col min="5" max="5" width="16.7109375" customWidth="1"/>
    <col min="6" max="6" width="14.140625" customWidth="1"/>
    <col min="7" max="7" width="9.5703125" bestFit="1" customWidth="1"/>
  </cols>
  <sheetData>
    <row r="3" spans="2:8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9</v>
      </c>
    </row>
    <row r="4" spans="2:8" x14ac:dyDescent="0.25">
      <c r="B4">
        <v>1</v>
      </c>
      <c r="C4" t="s">
        <v>8</v>
      </c>
      <c r="E4" s="3">
        <v>390000</v>
      </c>
      <c r="F4" s="3">
        <v>250000</v>
      </c>
      <c r="G4" s="3">
        <f>E4-F4</f>
        <v>140000</v>
      </c>
      <c r="H4" s="3" t="s">
        <v>10</v>
      </c>
    </row>
    <row r="5" spans="2:8" x14ac:dyDescent="0.25">
      <c r="B5">
        <v>2</v>
      </c>
      <c r="C5" t="s">
        <v>8</v>
      </c>
      <c r="E5" s="3">
        <v>390000</v>
      </c>
      <c r="F5" s="3">
        <v>250000</v>
      </c>
      <c r="G5" s="3">
        <f t="shared" ref="G5:G13" si="0">E5-F5</f>
        <v>140000</v>
      </c>
      <c r="H5" s="3" t="s">
        <v>11</v>
      </c>
    </row>
    <row r="6" spans="2:8" x14ac:dyDescent="0.25">
      <c r="B6">
        <v>3</v>
      </c>
      <c r="C6" t="s">
        <v>8</v>
      </c>
      <c r="E6" s="3">
        <v>390000</v>
      </c>
      <c r="F6" s="3">
        <v>250000</v>
      </c>
      <c r="G6" s="3">
        <f t="shared" si="0"/>
        <v>140000</v>
      </c>
      <c r="H6" s="3" t="s">
        <v>10</v>
      </c>
    </row>
    <row r="7" spans="2:8" x14ac:dyDescent="0.25">
      <c r="B7">
        <v>4</v>
      </c>
      <c r="C7" t="s">
        <v>8</v>
      </c>
      <c r="E7" s="3">
        <v>390000</v>
      </c>
      <c r="F7" s="3">
        <v>250000</v>
      </c>
      <c r="G7" s="3">
        <f t="shared" si="0"/>
        <v>140000</v>
      </c>
      <c r="H7" s="3" t="s">
        <v>11</v>
      </c>
    </row>
    <row r="8" spans="2:8" x14ac:dyDescent="0.25">
      <c r="B8">
        <v>5</v>
      </c>
      <c r="C8" t="s">
        <v>8</v>
      </c>
      <c r="E8" s="3">
        <v>390000</v>
      </c>
      <c r="F8" s="3">
        <v>230000</v>
      </c>
      <c r="G8" s="3">
        <f t="shared" si="0"/>
        <v>160000</v>
      </c>
      <c r="H8" s="3" t="s">
        <v>11</v>
      </c>
    </row>
    <row r="9" spans="2:8" x14ac:dyDescent="0.25">
      <c r="B9">
        <v>6</v>
      </c>
      <c r="C9" t="s">
        <v>8</v>
      </c>
      <c r="E9" s="3">
        <v>390000</v>
      </c>
      <c r="F9" s="3">
        <v>250000</v>
      </c>
      <c r="G9" s="3">
        <f t="shared" si="0"/>
        <v>140000</v>
      </c>
      <c r="H9" s="3" t="s">
        <v>10</v>
      </c>
    </row>
    <row r="10" spans="2:8" x14ac:dyDescent="0.25">
      <c r="B10">
        <v>7</v>
      </c>
      <c r="C10" t="s">
        <v>8</v>
      </c>
      <c r="E10" s="3">
        <v>390000</v>
      </c>
      <c r="F10" s="3">
        <v>250000</v>
      </c>
      <c r="G10" s="3">
        <f t="shared" si="0"/>
        <v>140000</v>
      </c>
      <c r="H10" s="3" t="s">
        <v>11</v>
      </c>
    </row>
    <row r="11" spans="2:8" x14ac:dyDescent="0.25">
      <c r="B11">
        <v>8</v>
      </c>
      <c r="C11" t="s">
        <v>8</v>
      </c>
      <c r="E11" s="3">
        <v>390000</v>
      </c>
      <c r="F11" s="3">
        <v>250000</v>
      </c>
      <c r="G11" s="3">
        <f t="shared" si="0"/>
        <v>140000</v>
      </c>
      <c r="H11" s="3" t="s">
        <v>10</v>
      </c>
    </row>
    <row r="12" spans="2:8" x14ac:dyDescent="0.25">
      <c r="B12">
        <v>9</v>
      </c>
      <c r="C12" t="s">
        <v>8</v>
      </c>
      <c r="E12" s="3">
        <v>390000</v>
      </c>
      <c r="F12" s="3">
        <v>250000</v>
      </c>
      <c r="G12" s="3">
        <f t="shared" si="0"/>
        <v>140000</v>
      </c>
      <c r="H12" s="3" t="s">
        <v>10</v>
      </c>
    </row>
    <row r="13" spans="2:8" x14ac:dyDescent="0.25">
      <c r="B13">
        <v>10</v>
      </c>
      <c r="C13" t="s">
        <v>8</v>
      </c>
      <c r="E13" s="3">
        <v>390000</v>
      </c>
      <c r="F13" s="3">
        <v>250000</v>
      </c>
      <c r="G13" s="3">
        <f t="shared" si="0"/>
        <v>140000</v>
      </c>
      <c r="H13" s="3" t="s">
        <v>10</v>
      </c>
    </row>
    <row r="14" spans="2:8" x14ac:dyDescent="0.25">
      <c r="C14">
        <f>SUBTOTAL(103,Таблица1[F.I.Sh])</f>
        <v>10</v>
      </c>
      <c r="E14" s="3">
        <f>SUBTOTAL(109,Таблица1[To''lov summasi])</f>
        <v>3900000</v>
      </c>
      <c r="F14" s="3">
        <f>SUBTOTAL(109,Таблица1[oxirgi to''lovi])</f>
        <v>2480000</v>
      </c>
      <c r="G14" s="3">
        <f>SUBTOTAL(109,Таблица1[qarzi])</f>
        <v>1420000</v>
      </c>
      <c r="H14">
        <f>SUBTOTAL(103,Таблица1[jinsi])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4CB00-1F41-49FF-BB75-56024BF9B55D}">
  <dimension ref="C4:N15"/>
  <sheetViews>
    <sheetView tabSelected="1" topLeftCell="A4" zoomScale="115" zoomScaleNormal="115" workbookViewId="0">
      <selection activeCell="M6" sqref="M6"/>
    </sheetView>
  </sheetViews>
  <sheetFormatPr defaultRowHeight="15" x14ac:dyDescent="0.25"/>
  <cols>
    <col min="4" max="4" width="22.42578125" customWidth="1"/>
    <col min="5" max="5" width="11.85546875" customWidth="1"/>
    <col min="6" max="6" width="13.85546875" bestFit="1" customWidth="1"/>
    <col min="7" max="7" width="13.5703125" customWidth="1"/>
    <col min="8" max="8" width="12.5703125" customWidth="1"/>
    <col min="10" max="10" width="9.5703125" customWidth="1"/>
    <col min="11" max="11" width="11.85546875" customWidth="1"/>
    <col min="12" max="12" width="14" customWidth="1"/>
    <col min="13" max="13" width="14.7109375" bestFit="1" customWidth="1"/>
  </cols>
  <sheetData>
    <row r="4" spans="3:14" x14ac:dyDescent="0.25">
      <c r="C4" s="4" t="s">
        <v>12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3:14" x14ac:dyDescent="0.25">
      <c r="C5" t="s">
        <v>13</v>
      </c>
      <c r="D5" t="s">
        <v>23</v>
      </c>
      <c r="E5" t="s">
        <v>24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9</v>
      </c>
    </row>
    <row r="6" spans="3:14" x14ac:dyDescent="0.25">
      <c r="C6">
        <v>1</v>
      </c>
      <c r="D6" t="s">
        <v>25</v>
      </c>
      <c r="F6">
        <v>1</v>
      </c>
      <c r="G6">
        <v>0</v>
      </c>
      <c r="H6">
        <v>1</v>
      </c>
      <c r="I6">
        <v>0</v>
      </c>
      <c r="J6">
        <v>1</v>
      </c>
      <c r="K6" s="5">
        <v>0</v>
      </c>
      <c r="L6" s="5">
        <f>COUNTIF(Таблица3[[#This Row],[Ism]:[Juma]],1)</f>
        <v>3</v>
      </c>
      <c r="M6">
        <f>COUNTIF(Таблица3[[#This Row],[Ism]:[Juma]],0)</f>
        <v>2</v>
      </c>
      <c r="N6" t="str">
        <f>IF(RIGHT(Таблица3[[#This Row],[Familiya]])="a","Ayol","Erkak")</f>
        <v>Ayol</v>
      </c>
    </row>
    <row r="7" spans="3:14" x14ac:dyDescent="0.25">
      <c r="C7">
        <v>2</v>
      </c>
      <c r="D7" t="s">
        <v>22</v>
      </c>
      <c r="F7">
        <v>1</v>
      </c>
      <c r="G7">
        <v>0</v>
      </c>
      <c r="H7">
        <v>0</v>
      </c>
      <c r="I7">
        <v>1</v>
      </c>
      <c r="J7">
        <v>1</v>
      </c>
      <c r="K7" s="5">
        <v>0</v>
      </c>
      <c r="L7" s="5">
        <f>COUNTIF(Таблица3[[#This Row],[Ism]:[Juma]],1)</f>
        <v>3</v>
      </c>
      <c r="M7">
        <f>COUNTIF(Таблица3[[#This Row],[Ism]:[Juma]],0)</f>
        <v>2</v>
      </c>
      <c r="N7" t="str">
        <f>IF(RIGHT(Таблица3[[#This Row],[Familiya]])="a","Ayol","Erkak")</f>
        <v>Erkak</v>
      </c>
    </row>
    <row r="8" spans="3:14" x14ac:dyDescent="0.25">
      <c r="C8">
        <v>3</v>
      </c>
      <c r="D8" t="s">
        <v>22</v>
      </c>
      <c r="F8">
        <v>0</v>
      </c>
      <c r="G8">
        <v>0</v>
      </c>
      <c r="H8">
        <v>0</v>
      </c>
      <c r="I8">
        <v>1</v>
      </c>
      <c r="J8">
        <v>1</v>
      </c>
      <c r="K8" s="5">
        <v>0</v>
      </c>
      <c r="L8" s="5">
        <f>COUNTIF(Таблица3[[#This Row],[Ism]:[Juma]],1)</f>
        <v>2</v>
      </c>
      <c r="M8">
        <f>COUNTIF(Таблица3[[#This Row],[Ism]:[Juma]],0)</f>
        <v>3</v>
      </c>
      <c r="N8" t="str">
        <f>IF(RIGHT(Таблица3[[#This Row],[Familiya]])="a","Ayol","Erkak")</f>
        <v>Erkak</v>
      </c>
    </row>
    <row r="9" spans="3:14" x14ac:dyDescent="0.25">
      <c r="C9">
        <v>4</v>
      </c>
      <c r="D9" t="s">
        <v>22</v>
      </c>
      <c r="F9">
        <v>1</v>
      </c>
      <c r="G9">
        <v>0</v>
      </c>
      <c r="H9">
        <v>0</v>
      </c>
      <c r="I9">
        <v>1</v>
      </c>
      <c r="J9">
        <v>1</v>
      </c>
      <c r="K9" s="5">
        <v>0</v>
      </c>
      <c r="L9" s="5">
        <f>COUNTIF(Таблица3[[#This Row],[Ism]:[Juma]],1)</f>
        <v>3</v>
      </c>
      <c r="M9">
        <f>COUNTIF(Таблица3[[#This Row],[Ism]:[Juma]],0)</f>
        <v>2</v>
      </c>
      <c r="N9" t="str">
        <f>IF(RIGHT(Таблица3[[#This Row],[Familiya]])="a","Ayol","Erkak")</f>
        <v>Erkak</v>
      </c>
    </row>
    <row r="10" spans="3:14" x14ac:dyDescent="0.25">
      <c r="C10">
        <v>5</v>
      </c>
      <c r="D10" t="s">
        <v>22</v>
      </c>
      <c r="F10">
        <v>1</v>
      </c>
      <c r="G10">
        <v>0</v>
      </c>
      <c r="H10">
        <v>1</v>
      </c>
      <c r="I10">
        <v>1</v>
      </c>
      <c r="J10">
        <v>1</v>
      </c>
      <c r="K10" s="5">
        <v>0</v>
      </c>
      <c r="L10" s="5">
        <f>COUNTIF(Таблица3[[#This Row],[Ism]:[Juma]],1)</f>
        <v>4</v>
      </c>
      <c r="M10">
        <f>COUNTIF(Таблица3[[#This Row],[Ism]:[Juma]],0)</f>
        <v>1</v>
      </c>
      <c r="N10" t="str">
        <f>IF(RIGHT(Таблица3[[#This Row],[Familiya]])="a","Ayol","Erkak")</f>
        <v>Erkak</v>
      </c>
    </row>
    <row r="11" spans="3:14" x14ac:dyDescent="0.25">
      <c r="C11">
        <v>6</v>
      </c>
      <c r="D11" t="s">
        <v>22</v>
      </c>
      <c r="F11">
        <v>1</v>
      </c>
      <c r="G11">
        <v>0</v>
      </c>
      <c r="H11">
        <v>0</v>
      </c>
      <c r="I11">
        <v>1</v>
      </c>
      <c r="J11">
        <v>1</v>
      </c>
      <c r="K11" s="5">
        <v>0</v>
      </c>
      <c r="L11" s="5">
        <f>COUNTIF(Таблица3[[#This Row],[Ism]:[Juma]],1)</f>
        <v>3</v>
      </c>
      <c r="M11">
        <f>COUNTIF(Таблица3[[#This Row],[Ism]:[Juma]],0)</f>
        <v>2</v>
      </c>
      <c r="N11" t="str">
        <f>IF(RIGHT(Таблица3[[#This Row],[Familiya]])="a","Ayol","Erkak")</f>
        <v>Erkak</v>
      </c>
    </row>
    <row r="12" spans="3:14" x14ac:dyDescent="0.25">
      <c r="C12">
        <v>7</v>
      </c>
      <c r="D12" t="s">
        <v>22</v>
      </c>
      <c r="F12">
        <v>1</v>
      </c>
      <c r="G12">
        <v>0</v>
      </c>
      <c r="H12">
        <v>0</v>
      </c>
      <c r="I12">
        <v>1</v>
      </c>
      <c r="J12">
        <v>1</v>
      </c>
      <c r="K12" s="5">
        <v>0</v>
      </c>
      <c r="L12" s="5">
        <f>COUNTIF(Таблица3[[#This Row],[Ism]:[Juma]],1)</f>
        <v>3</v>
      </c>
      <c r="M12">
        <f>COUNTIF(Таблица3[[#This Row],[Ism]:[Juma]],0)</f>
        <v>2</v>
      </c>
      <c r="N12" t="str">
        <f>IF(RIGHT(Таблица3[[#This Row],[Familiya]])="a","Ayol","Erkak")</f>
        <v>Erkak</v>
      </c>
    </row>
    <row r="13" spans="3:14" x14ac:dyDescent="0.25">
      <c r="C13">
        <v>8</v>
      </c>
      <c r="D13" t="s">
        <v>22</v>
      </c>
      <c r="F13">
        <v>1</v>
      </c>
      <c r="G13">
        <v>0</v>
      </c>
      <c r="H13">
        <v>0</v>
      </c>
      <c r="I13">
        <v>1</v>
      </c>
      <c r="J13">
        <v>1</v>
      </c>
      <c r="K13" s="5">
        <v>0</v>
      </c>
      <c r="L13" s="5">
        <f>COUNTIF(Таблица3[[#This Row],[Ism]:[Juma]],1)</f>
        <v>3</v>
      </c>
      <c r="M13">
        <f>COUNTIF(Таблица3[[#This Row],[Ism]:[Juma]],0)</f>
        <v>2</v>
      </c>
      <c r="N13" t="str">
        <f>IF(RIGHT(Таблица3[[#This Row],[Familiya]])="a","Ayol","Erkak")</f>
        <v>Erkak</v>
      </c>
    </row>
    <row r="14" spans="3:14" x14ac:dyDescent="0.25">
      <c r="C14">
        <v>9</v>
      </c>
      <c r="D14" t="s">
        <v>22</v>
      </c>
      <c r="F14">
        <v>1</v>
      </c>
      <c r="G14">
        <v>0</v>
      </c>
      <c r="H14">
        <v>0</v>
      </c>
      <c r="I14">
        <v>1</v>
      </c>
      <c r="J14">
        <v>1</v>
      </c>
      <c r="K14" s="5">
        <v>0</v>
      </c>
      <c r="L14" s="5">
        <f>COUNTIF(Таблица3[[#This Row],[Ism]:[Juma]],1)</f>
        <v>3</v>
      </c>
      <c r="M14">
        <f>COUNTIF(Таблица3[[#This Row],[Ism]:[Juma]],0)</f>
        <v>2</v>
      </c>
      <c r="N14" t="str">
        <f>IF(RIGHT(Таблица3[[#This Row],[Familiya]])="a","Ayol","Erkak")</f>
        <v>Erkak</v>
      </c>
    </row>
    <row r="15" spans="3:14" x14ac:dyDescent="0.25">
      <c r="C15">
        <v>10</v>
      </c>
      <c r="D15" t="s">
        <v>22</v>
      </c>
      <c r="F15">
        <v>1</v>
      </c>
      <c r="G15">
        <v>0</v>
      </c>
      <c r="H15">
        <v>0</v>
      </c>
      <c r="I15">
        <v>1</v>
      </c>
      <c r="J15">
        <v>1</v>
      </c>
      <c r="K15" s="5">
        <v>0</v>
      </c>
      <c r="L15" s="5">
        <f>COUNTIF(Таблица3[[#This Row],[Ism]:[Juma]],1)</f>
        <v>3</v>
      </c>
      <c r="M15">
        <f>COUNTIF(Таблица3[[#This Row],[Ism]:[Juma]],0)</f>
        <v>2</v>
      </c>
      <c r="N15" t="str">
        <f>IF(RIGHT(Таблица3[[#This Row],[Familiya]])="a","Ayol","Erkak")</f>
        <v>Erkak</v>
      </c>
    </row>
  </sheetData>
  <mergeCells count="1">
    <mergeCell ref="C4:N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o'quvchilar ro'yxati</vt:lpstr>
      <vt:lpstr>to'lovlar</vt:lpstr>
      <vt:lpstr>davomat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O'quvchi uchun</dc:creator>
  <cp:lastModifiedBy>O'quvchi uchun</cp:lastModifiedBy>
  <dcterms:created xsi:type="dcterms:W3CDTF">2025-11-14T08:23:02Z</dcterms:created>
  <dcterms:modified xsi:type="dcterms:W3CDTF">2025-11-17T05:54:33Z</dcterms:modified>
</cp:coreProperties>
</file>